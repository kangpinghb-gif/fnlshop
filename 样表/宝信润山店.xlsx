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擦擦擦\Desktop\2022\"/>
    </mc:Choice>
  </mc:AlternateContent>
  <xr:revisionPtr revIDLastSave="0" documentId="8_{65E0CD23-33A9-4CB5-8EEE-99BDBEC7706B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宝信润山店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5" i="1"/>
  <c r="S25" i="1"/>
  <c r="K25" i="1"/>
  <c r="H25" i="1"/>
  <c r="M25" i="1" s="1"/>
  <c r="S24" i="1"/>
  <c r="K24" i="1"/>
  <c r="H24" i="1"/>
  <c r="M24" i="1" s="1"/>
  <c r="S23" i="1"/>
  <c r="K23" i="1"/>
  <c r="H23" i="1"/>
  <c r="M23" i="1" s="1"/>
  <c r="S22" i="1"/>
  <c r="N22" i="1"/>
  <c r="M22" i="1"/>
  <c r="K22" i="1"/>
  <c r="H22" i="1"/>
  <c r="L22" i="1" s="1"/>
  <c r="S21" i="1"/>
  <c r="N21" i="1"/>
  <c r="M21" i="1"/>
  <c r="L21" i="1"/>
  <c r="K21" i="1"/>
  <c r="H21" i="1"/>
  <c r="S20" i="1"/>
  <c r="N20" i="1"/>
  <c r="M20" i="1"/>
  <c r="K20" i="1"/>
  <c r="L20" i="1" s="1"/>
  <c r="H20" i="1"/>
  <c r="S19" i="1"/>
  <c r="N19" i="1"/>
  <c r="K19" i="1"/>
  <c r="H19" i="1"/>
  <c r="M19" i="1" s="1"/>
  <c r="S18" i="1"/>
  <c r="N18" i="1"/>
  <c r="K18" i="1"/>
  <c r="H18" i="1"/>
  <c r="M18" i="1" s="1"/>
  <c r="S17" i="1"/>
  <c r="N17" i="1"/>
  <c r="K17" i="1"/>
  <c r="H17" i="1"/>
  <c r="M17" i="1" s="1"/>
  <c r="S16" i="1"/>
  <c r="N16" i="1"/>
  <c r="K16" i="1"/>
  <c r="H16" i="1"/>
  <c r="M16" i="1" s="1"/>
  <c r="S15" i="1"/>
  <c r="N15" i="1"/>
  <c r="K15" i="1"/>
  <c r="H15" i="1"/>
  <c r="M15" i="1" s="1"/>
  <c r="S14" i="1"/>
  <c r="N14" i="1"/>
  <c r="M14" i="1"/>
  <c r="K14" i="1"/>
  <c r="H14" i="1"/>
  <c r="L14" i="1" s="1"/>
  <c r="S13" i="1"/>
  <c r="N13" i="1"/>
  <c r="M13" i="1"/>
  <c r="L13" i="1"/>
  <c r="K13" i="1"/>
  <c r="H13" i="1"/>
  <c r="S12" i="1"/>
  <c r="N12" i="1"/>
  <c r="M12" i="1"/>
  <c r="K12" i="1"/>
  <c r="L12" i="1" s="1"/>
  <c r="H12" i="1"/>
  <c r="S11" i="1"/>
  <c r="N11" i="1"/>
  <c r="K11" i="1"/>
  <c r="H11" i="1"/>
  <c r="M11" i="1" s="1"/>
  <c r="S10" i="1"/>
  <c r="N10" i="1"/>
  <c r="K10" i="1"/>
  <c r="H10" i="1"/>
  <c r="M10" i="1" s="1"/>
  <c r="S9" i="1"/>
  <c r="N9" i="1"/>
  <c r="K9" i="1"/>
  <c r="H9" i="1"/>
  <c r="M9" i="1" s="1"/>
  <c r="S8" i="1"/>
  <c r="N8" i="1"/>
  <c r="K8" i="1"/>
  <c r="H8" i="1"/>
  <c r="M8" i="1" s="1"/>
  <c r="S7" i="1"/>
  <c r="M7" i="1"/>
  <c r="K7" i="1"/>
  <c r="H7" i="1"/>
  <c r="L7" i="1" s="1"/>
  <c r="S6" i="1"/>
  <c r="N6" i="1"/>
  <c r="M6" i="1"/>
  <c r="L6" i="1"/>
  <c r="K6" i="1"/>
  <c r="H6" i="1"/>
  <c r="S5" i="1"/>
  <c r="S26" i="1" s="1"/>
  <c r="N5" i="1"/>
  <c r="M5" i="1"/>
  <c r="K5" i="1"/>
  <c r="L5" i="1" s="1"/>
  <c r="H5" i="1"/>
  <c r="P26" i="1" l="1"/>
  <c r="L11" i="1"/>
  <c r="L19" i="1"/>
  <c r="L25" i="1"/>
  <c r="L10" i="1"/>
  <c r="L18" i="1"/>
  <c r="L9" i="1"/>
  <c r="L17" i="1"/>
  <c r="L24" i="1"/>
  <c r="L8" i="1"/>
  <c r="L16" i="1"/>
  <c r="L15" i="1"/>
  <c r="L23" i="1"/>
</calcChain>
</file>

<file path=xl/sharedStrings.xml><?xml version="1.0" encoding="utf-8"?>
<sst xmlns="http://schemas.openxmlformats.org/spreadsheetml/2006/main" count="55" uniqueCount="55">
  <si>
    <t>徐州喜果供应链管理有限公司（蔬菜）供应商编号；200477</t>
  </si>
  <si>
    <t xml:space="preserve">门店名：丰年- 宝信润山店
发货日期：5.24下午                                                                                                                             采购专员：果果   15371630360  </t>
  </si>
  <si>
    <t>收货门店填写</t>
  </si>
  <si>
    <t>报价表上复制黏贴</t>
  </si>
  <si>
    <t>按实际净果填写</t>
  </si>
  <si>
    <t>斤/系数+筐皮*箱数</t>
  </si>
  <si>
    <t>报价表上引用</t>
  </si>
  <si>
    <t>净果数量*净果单价</t>
  </si>
  <si>
    <t>净果单价*（1-损耗）</t>
  </si>
  <si>
    <t>金额/去损后重量</t>
  </si>
  <si>
    <t>序
号</t>
  </si>
  <si>
    <t>商品
编码</t>
  </si>
  <si>
    <t>产品名称</t>
  </si>
  <si>
    <t>去损率</t>
  </si>
  <si>
    <t>订单量
（kg）</t>
  </si>
  <si>
    <t>供货量（斤）</t>
  </si>
  <si>
    <t>系数</t>
  </si>
  <si>
    <t>供货量</t>
  </si>
  <si>
    <t>箱数
（箱）</t>
  </si>
  <si>
    <t>单箱筐皮重量
（kg）</t>
  </si>
  <si>
    <t>筐皮
数量
（kg）</t>
  </si>
  <si>
    <t>毛重数量
（kg）</t>
  </si>
  <si>
    <t>净果数量
（kg）</t>
  </si>
  <si>
    <t>按报价单价
（元/kg）</t>
  </si>
  <si>
    <t>供货金额</t>
  </si>
  <si>
    <t>门店实收
重量
（kg）</t>
  </si>
  <si>
    <t xml:space="preserve">
单价
（元/kg）</t>
  </si>
  <si>
    <t>实收金额</t>
  </si>
  <si>
    <t>备注</t>
  </si>
  <si>
    <t>瓠子</t>
  </si>
  <si>
    <t>韭菜苔</t>
  </si>
  <si>
    <t>鲜花生红米带泥</t>
  </si>
  <si>
    <t>鲜玉米外地</t>
  </si>
  <si>
    <t>油麦菜（精品）</t>
  </si>
  <si>
    <t>青尖椒</t>
  </si>
  <si>
    <t>本地毛豆角</t>
  </si>
  <si>
    <t>菜花</t>
  </si>
  <si>
    <t>大黄瓜鲜花</t>
  </si>
  <si>
    <t>山药</t>
  </si>
  <si>
    <t>本地豆角</t>
  </si>
  <si>
    <t>白萝卜</t>
  </si>
  <si>
    <t>紫甘蓝</t>
  </si>
  <si>
    <t>新蒜苔青泡</t>
  </si>
  <si>
    <t>新洋葱</t>
  </si>
  <si>
    <t>大力生菜精品</t>
  </si>
  <si>
    <t>长茄子精品</t>
  </si>
  <si>
    <t>散海味菇</t>
  </si>
  <si>
    <t>口蘑（盒）</t>
  </si>
  <si>
    <t>鲜香菇散</t>
  </si>
  <si>
    <t>旱黄瓜</t>
  </si>
  <si>
    <t>合计：</t>
  </si>
  <si>
    <t>不含税总金额</t>
  </si>
  <si>
    <t>栈板</t>
  </si>
  <si>
    <t>大框</t>
  </si>
  <si>
    <t>小筐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</si>
</sst>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_ "/>
    <numFmt numFmtId="179" formatCode="0.00_ "/>
  </numFmts>
  <fonts count="16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36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FF0000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511703848384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9" fontId="8" fillId="4" borderId="8" xfId="0" applyNumberFormat="1" applyFont="1" applyFill="1" applyBorder="1" applyAlignment="1">
      <alignment horizontal="center" vertical="center" wrapText="1"/>
    </xf>
    <xf numFmtId="179" fontId="8" fillId="4" borderId="6" xfId="0" applyNumberFormat="1" applyFont="1" applyFill="1" applyBorder="1" applyAlignment="1">
      <alignment horizontal="center" vertical="center" wrapText="1"/>
    </xf>
    <xf numFmtId="178" fontId="8" fillId="4" borderId="6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/>
    <xf numFmtId="9" fontId="9" fillId="0" borderId="6" xfId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9" fillId="0" borderId="8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2" borderId="6" xfId="0" applyFont="1" applyFill="1" applyBorder="1">
      <alignment vertical="center"/>
    </xf>
    <xf numFmtId="178" fontId="3" fillId="0" borderId="8" xfId="0" applyNumberFormat="1" applyFont="1" applyBorder="1" applyAlignment="1">
      <alignment horizontal="center" vertical="center"/>
    </xf>
    <xf numFmtId="0" fontId="11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>
      <alignment vertical="center"/>
    </xf>
    <xf numFmtId="0" fontId="12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3" fillId="0" borderId="6" xfId="0" applyFont="1" applyBorder="1" applyAlignment="1" applyProtection="1">
      <alignment horizontal="left" vertical="center"/>
      <protection locked="0"/>
    </xf>
    <xf numFmtId="0" fontId="13" fillId="2" borderId="6" xfId="0" applyFont="1" applyFill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79" fontId="9" fillId="0" borderId="11" xfId="0" applyNumberFormat="1" applyFont="1" applyBorder="1" applyAlignment="1">
      <alignment horizontal="center" vertical="center"/>
    </xf>
    <xf numFmtId="179" fontId="3" fillId="0" borderId="12" xfId="0" applyNumberFormat="1" applyFont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2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xwechat_files/PiPi994681473_2ce9/msg/file/2026-05/&#20016;&#24180;&#36229;&#24066;&#35746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蔬菜"/>
    </sheetNames>
    <sheetDataSet>
      <sheetData sheetId="0">
        <row r="2">
          <cell r="B2" t="str">
            <v>商品名称</v>
          </cell>
          <cell r="C2" t="str">
            <v>起订量   KG/件</v>
          </cell>
          <cell r="D2" t="str">
            <v>需求数量
（KG）</v>
          </cell>
          <cell r="E2" t="str">
            <v>昨日净果单价
（元/KG）</v>
          </cell>
          <cell r="F2" t="str">
            <v>今日净果单价
（元/KG）</v>
          </cell>
        </row>
        <row r="3">
          <cell r="B3" t="str">
            <v>油麦菜（精品）</v>
          </cell>
          <cell r="F3">
            <v>5.5</v>
          </cell>
        </row>
        <row r="4">
          <cell r="B4" t="str">
            <v>本地油麦菜</v>
          </cell>
          <cell r="F4">
            <v>3.3</v>
          </cell>
        </row>
        <row r="5">
          <cell r="B5" t="str">
            <v>山东精品上海青</v>
          </cell>
          <cell r="C5" t="str">
            <v>1件</v>
          </cell>
          <cell r="F5">
            <v>1.36</v>
          </cell>
        </row>
        <row r="6">
          <cell r="B6" t="str">
            <v>小油菜</v>
          </cell>
          <cell r="F6">
            <v>3.8</v>
          </cell>
        </row>
        <row r="7">
          <cell r="B7" t="str">
            <v>小白菜</v>
          </cell>
          <cell r="F7">
            <v>1.44</v>
          </cell>
        </row>
        <row r="8">
          <cell r="B8" t="str">
            <v>本地茼蒿</v>
          </cell>
          <cell r="C8" t="str">
            <v>30斤/件</v>
          </cell>
          <cell r="F8">
            <v>2.6</v>
          </cell>
        </row>
        <row r="9">
          <cell r="B9" t="str">
            <v>大力生菜精品</v>
          </cell>
          <cell r="C9" t="str">
            <v>20斤/件</v>
          </cell>
          <cell r="F9">
            <v>5.44</v>
          </cell>
        </row>
        <row r="10">
          <cell r="B10" t="str">
            <v>本地生菜</v>
          </cell>
          <cell r="C10" t="str">
            <v>20斤/件</v>
          </cell>
          <cell r="F10">
            <v>2</v>
          </cell>
        </row>
        <row r="11">
          <cell r="B11" t="str">
            <v>精品苦菊</v>
          </cell>
          <cell r="F11">
            <v>4.4000000000000004</v>
          </cell>
        </row>
        <row r="12">
          <cell r="B12" t="str">
            <v>毛白菜水洗</v>
          </cell>
          <cell r="F12">
            <v>2.1</v>
          </cell>
        </row>
        <row r="13">
          <cell r="B13" t="str">
            <v>水洗香葱</v>
          </cell>
          <cell r="F13">
            <v>10</v>
          </cell>
        </row>
        <row r="14">
          <cell r="B14" t="str">
            <v>水洗蒜苗</v>
          </cell>
          <cell r="F14">
            <v>7.7</v>
          </cell>
        </row>
        <row r="15">
          <cell r="B15" t="str">
            <v>本地菜心</v>
          </cell>
          <cell r="F15">
            <v>2.1</v>
          </cell>
        </row>
        <row r="16">
          <cell r="B16" t="str">
            <v>精品菠菜散</v>
          </cell>
          <cell r="F16">
            <v>3.9</v>
          </cell>
        </row>
        <row r="17">
          <cell r="B17" t="str">
            <v>小茴香</v>
          </cell>
          <cell r="F17">
            <v>4.4000000000000004</v>
          </cell>
        </row>
        <row r="18">
          <cell r="B18" t="str">
            <v>山芹散</v>
          </cell>
          <cell r="F18">
            <v>2.9</v>
          </cell>
        </row>
        <row r="19">
          <cell r="B19" t="str">
            <v>空心菜</v>
          </cell>
          <cell r="F19">
            <v>3.4</v>
          </cell>
        </row>
        <row r="20">
          <cell r="B20" t="str">
            <v>本地小葱</v>
          </cell>
          <cell r="F20">
            <v>5.4</v>
          </cell>
        </row>
        <row r="21">
          <cell r="B21" t="str">
            <v>芹菜苗</v>
          </cell>
          <cell r="F21">
            <v>4.3</v>
          </cell>
        </row>
        <row r="22">
          <cell r="B22" t="str">
            <v>绿苋菜</v>
          </cell>
          <cell r="F22">
            <v>4.3</v>
          </cell>
        </row>
        <row r="23">
          <cell r="B23" t="str">
            <v>红苋菜</v>
          </cell>
          <cell r="F23">
            <v>2.8</v>
          </cell>
        </row>
        <row r="24">
          <cell r="B24" t="str">
            <v>木耳菜</v>
          </cell>
          <cell r="F24">
            <v>3.3</v>
          </cell>
        </row>
        <row r="25">
          <cell r="B25" t="str">
            <v>西芹</v>
          </cell>
          <cell r="C25" t="str">
            <v>30斤/件</v>
          </cell>
          <cell r="F25">
            <v>5.4</v>
          </cell>
        </row>
        <row r="26">
          <cell r="B26" t="str">
            <v>干韭菜</v>
          </cell>
          <cell r="F26">
            <v>3.76</v>
          </cell>
        </row>
        <row r="27">
          <cell r="B27" t="str">
            <v>本地散香菜</v>
          </cell>
          <cell r="F27">
            <v>6.2</v>
          </cell>
        </row>
        <row r="28">
          <cell r="B28" t="str">
            <v>芹菜散</v>
          </cell>
          <cell r="F28">
            <v>2.9</v>
          </cell>
        </row>
        <row r="29">
          <cell r="B29" t="str">
            <v>黄秋葵袋</v>
          </cell>
          <cell r="C29" t="str">
            <v>5袋</v>
          </cell>
          <cell r="F29">
            <v>3.3</v>
          </cell>
        </row>
        <row r="30">
          <cell r="B30" t="str">
            <v>韭菜苔</v>
          </cell>
          <cell r="F30">
            <v>6.2</v>
          </cell>
        </row>
        <row r="31">
          <cell r="B31" t="str">
            <v>盒装冰草</v>
          </cell>
          <cell r="C31" t="str">
            <v>5袋</v>
          </cell>
          <cell r="F31">
            <v>3.3</v>
          </cell>
        </row>
        <row r="32">
          <cell r="B32" t="str">
            <v>盒装百合</v>
          </cell>
          <cell r="C32" t="str">
            <v>5袋</v>
          </cell>
          <cell r="F32">
            <v>12.8</v>
          </cell>
        </row>
        <row r="33">
          <cell r="B33" t="str">
            <v>萝卜苗</v>
          </cell>
          <cell r="C33" t="str">
            <v>3斤/板</v>
          </cell>
          <cell r="F33">
            <v>13</v>
          </cell>
        </row>
        <row r="34">
          <cell r="B34" t="str">
            <v>生菜球</v>
          </cell>
          <cell r="C34" t="str">
            <v>16斤/件</v>
          </cell>
          <cell r="F34">
            <v>6.6</v>
          </cell>
        </row>
        <row r="35">
          <cell r="B35" t="str">
            <v>芦蒿</v>
          </cell>
          <cell r="F35">
            <v>19.399999999999999</v>
          </cell>
        </row>
        <row r="36">
          <cell r="B36" t="str">
            <v>蒜黄</v>
          </cell>
          <cell r="F36">
            <v>9.6</v>
          </cell>
        </row>
        <row r="37">
          <cell r="B37" t="str">
            <v>西兰花</v>
          </cell>
          <cell r="C37" t="str">
            <v>10斤</v>
          </cell>
          <cell r="F37">
            <v>6</v>
          </cell>
        </row>
        <row r="38">
          <cell r="B38" t="str">
            <v>西兰花泡沫件</v>
          </cell>
          <cell r="C38" t="str">
            <v>13斤/件</v>
          </cell>
          <cell r="F38">
            <v>7.5</v>
          </cell>
        </row>
        <row r="39">
          <cell r="B39" t="str">
            <v>菜花</v>
          </cell>
          <cell r="C39" t="str">
            <v>件</v>
          </cell>
          <cell r="F39">
            <v>2.4</v>
          </cell>
        </row>
        <row r="40">
          <cell r="B40" t="str">
            <v>白菜大绿叶</v>
          </cell>
          <cell r="C40" t="str">
            <v>件</v>
          </cell>
          <cell r="F40">
            <v>0.9</v>
          </cell>
        </row>
        <row r="41">
          <cell r="B41" t="str">
            <v>黄白菜</v>
          </cell>
          <cell r="C41" t="str">
            <v>件</v>
          </cell>
          <cell r="F41">
            <v>4</v>
          </cell>
        </row>
        <row r="42">
          <cell r="B42" t="str">
            <v>紫甘蓝</v>
          </cell>
          <cell r="F42">
            <v>2.2000000000000002</v>
          </cell>
        </row>
        <row r="43">
          <cell r="B43" t="str">
            <v>山野娃娃菜</v>
          </cell>
          <cell r="F43">
            <v>5.2</v>
          </cell>
        </row>
        <row r="44">
          <cell r="B44" t="str">
            <v>大娃娃菜（精品）</v>
          </cell>
          <cell r="F44">
            <v>3.36</v>
          </cell>
        </row>
        <row r="45">
          <cell r="B45" t="str">
            <v>苞菜</v>
          </cell>
          <cell r="C45" t="str">
            <v>件</v>
          </cell>
          <cell r="F45">
            <v>1</v>
          </cell>
        </row>
        <row r="46">
          <cell r="B46" t="str">
            <v>荀瓜（精品）框装</v>
          </cell>
          <cell r="C46" t="str">
            <v>24斤/件</v>
          </cell>
          <cell r="F46">
            <v>2.74</v>
          </cell>
        </row>
        <row r="47">
          <cell r="B47" t="str">
            <v>荀瓜（精品）泡沫件</v>
          </cell>
          <cell r="F47">
            <v>4.3</v>
          </cell>
        </row>
        <row r="48">
          <cell r="B48" t="str">
            <v>鲜花丝瓜框装</v>
          </cell>
          <cell r="F48">
            <v>3.3</v>
          </cell>
        </row>
        <row r="49">
          <cell r="B49" t="str">
            <v>小黄瓜</v>
          </cell>
          <cell r="C49" t="str">
            <v>6斤/件</v>
          </cell>
          <cell r="F49">
            <v>7</v>
          </cell>
        </row>
        <row r="50">
          <cell r="B50" t="str">
            <v>苦瓜泡沫箱</v>
          </cell>
          <cell r="C50" t="str">
            <v>8斤/件</v>
          </cell>
          <cell r="F50">
            <v>5.0999999999999996</v>
          </cell>
        </row>
        <row r="51">
          <cell r="B51" t="str">
            <v>苦瓜框装</v>
          </cell>
          <cell r="F51">
            <v>2.4</v>
          </cell>
        </row>
        <row r="52">
          <cell r="B52" t="str">
            <v>黄南瓜</v>
          </cell>
          <cell r="F52">
            <v>1.56</v>
          </cell>
        </row>
        <row r="53">
          <cell r="B53" t="str">
            <v>花生南瓜</v>
          </cell>
          <cell r="F53">
            <v>2.9</v>
          </cell>
        </row>
        <row r="54">
          <cell r="B54" t="str">
            <v>磨盘南瓜</v>
          </cell>
          <cell r="F54">
            <v>2.2000000000000002</v>
          </cell>
        </row>
        <row r="55">
          <cell r="B55" t="str">
            <v>青南瓜</v>
          </cell>
          <cell r="F55">
            <v>3.3</v>
          </cell>
        </row>
        <row r="56">
          <cell r="B56" t="str">
            <v>冬瓜吊瓜</v>
          </cell>
          <cell r="C56" t="str">
            <v>整根</v>
          </cell>
          <cell r="F56">
            <v>1.1000000000000001</v>
          </cell>
        </row>
        <row r="57">
          <cell r="B57" t="str">
            <v>大黄瓜鲜花</v>
          </cell>
          <cell r="C57" t="str">
            <v>件</v>
          </cell>
          <cell r="F57">
            <v>1.76</v>
          </cell>
        </row>
        <row r="58">
          <cell r="B58" t="str">
            <v>长茄子精品</v>
          </cell>
          <cell r="F58">
            <v>1.66</v>
          </cell>
        </row>
        <row r="59">
          <cell r="B59" t="str">
            <v>线茄子</v>
          </cell>
          <cell r="F59">
            <v>5.3</v>
          </cell>
        </row>
        <row r="60">
          <cell r="B60" t="str">
            <v>青茄子</v>
          </cell>
          <cell r="F60">
            <v>5.5</v>
          </cell>
        </row>
        <row r="61">
          <cell r="B61" t="str">
            <v>圆茄框</v>
          </cell>
          <cell r="F61">
            <v>2.6</v>
          </cell>
        </row>
        <row r="62">
          <cell r="B62" t="str">
            <v>圆茄泡沫件</v>
          </cell>
          <cell r="C62" t="str">
            <v>件</v>
          </cell>
          <cell r="F62">
            <v>2.7</v>
          </cell>
        </row>
        <row r="63">
          <cell r="B63" t="str">
            <v>西红柿本地</v>
          </cell>
          <cell r="C63" t="str">
            <v>件</v>
          </cell>
          <cell r="F63">
            <v>2.8</v>
          </cell>
        </row>
        <row r="64">
          <cell r="B64" t="str">
            <v>青西红柿</v>
          </cell>
          <cell r="C64" t="str">
            <v>件</v>
          </cell>
          <cell r="F64">
            <v>6.1</v>
          </cell>
        </row>
        <row r="65">
          <cell r="B65" t="str">
            <v>草莓西红柿</v>
          </cell>
          <cell r="C65" t="str">
            <v>件</v>
          </cell>
          <cell r="F65">
            <v>17</v>
          </cell>
        </row>
        <row r="66">
          <cell r="B66" t="str">
            <v>水果西红柿</v>
          </cell>
          <cell r="C66" t="str">
            <v>件</v>
          </cell>
          <cell r="F66">
            <v>11</v>
          </cell>
        </row>
        <row r="67">
          <cell r="B67" t="str">
            <v>青尖椒</v>
          </cell>
          <cell r="F67">
            <v>4.4000000000000004</v>
          </cell>
        </row>
        <row r="68">
          <cell r="B68" t="str">
            <v>皱皮</v>
          </cell>
          <cell r="F68">
            <v>6.5</v>
          </cell>
        </row>
        <row r="69">
          <cell r="B69" t="str">
            <v>龙椒精品</v>
          </cell>
          <cell r="F69">
            <v>4</v>
          </cell>
        </row>
        <row r="70">
          <cell r="B70" t="str">
            <v>红米椒泡沫箱（一级）</v>
          </cell>
          <cell r="C70" t="str">
            <v>件</v>
          </cell>
          <cell r="F70">
            <v>14.7</v>
          </cell>
        </row>
        <row r="71">
          <cell r="B71" t="str">
            <v>大青椒精品本地</v>
          </cell>
          <cell r="F71">
            <v>2.6</v>
          </cell>
        </row>
        <row r="72">
          <cell r="B72" t="str">
            <v>大青椒通货本地</v>
          </cell>
          <cell r="F72">
            <v>2.2000000000000002</v>
          </cell>
        </row>
        <row r="73">
          <cell r="B73" t="str">
            <v>大红椒泡沫件</v>
          </cell>
          <cell r="C73" t="str">
            <v>件</v>
          </cell>
          <cell r="F73">
            <v>6.7</v>
          </cell>
        </row>
        <row r="74">
          <cell r="B74" t="str">
            <v>大红椒框装</v>
          </cell>
          <cell r="F74">
            <v>10</v>
          </cell>
        </row>
        <row r="75">
          <cell r="B75" t="str">
            <v>彩椒</v>
          </cell>
          <cell r="C75" t="str">
            <v>件</v>
          </cell>
          <cell r="F75">
            <v>8.4</v>
          </cell>
        </row>
        <row r="76">
          <cell r="B76" t="str">
            <v>本地扁豆</v>
          </cell>
          <cell r="C76" t="str">
            <v>5斤</v>
          </cell>
          <cell r="F76">
            <v>4.9000000000000004</v>
          </cell>
        </row>
        <row r="77">
          <cell r="B77" t="str">
            <v>四季豆</v>
          </cell>
          <cell r="C77" t="str">
            <v>5斤</v>
          </cell>
          <cell r="F77">
            <v>6.6</v>
          </cell>
        </row>
        <row r="78">
          <cell r="B78" t="str">
            <v>荷兰豆</v>
          </cell>
          <cell r="C78" t="str">
            <v>3斤</v>
          </cell>
          <cell r="F78">
            <v>19.600000000000001</v>
          </cell>
        </row>
        <row r="79">
          <cell r="B79" t="str">
            <v>本地豆角</v>
          </cell>
          <cell r="C79" t="str">
            <v>10斤</v>
          </cell>
          <cell r="F79">
            <v>7.2</v>
          </cell>
        </row>
        <row r="80">
          <cell r="B80" t="str">
            <v>新洋葱</v>
          </cell>
          <cell r="C80" t="str">
            <v>件</v>
          </cell>
          <cell r="F80">
            <v>1.74</v>
          </cell>
        </row>
        <row r="81">
          <cell r="B81" t="str">
            <v>新土豆框装</v>
          </cell>
          <cell r="C81" t="str">
            <v>件</v>
          </cell>
          <cell r="F81">
            <v>2.6</v>
          </cell>
        </row>
        <row r="82">
          <cell r="B82" t="str">
            <v>紫薯箱装</v>
          </cell>
          <cell r="C82" t="str">
            <v>件</v>
          </cell>
          <cell r="F82">
            <v>6.8</v>
          </cell>
        </row>
        <row r="83">
          <cell r="B83" t="str">
            <v>紫薯/件（10小袋）</v>
          </cell>
          <cell r="C83" t="str">
            <v>件</v>
          </cell>
          <cell r="F83">
            <v>55</v>
          </cell>
        </row>
        <row r="84">
          <cell r="B84" t="str">
            <v>新蜜薯</v>
          </cell>
          <cell r="C84" t="str">
            <v>件</v>
          </cell>
          <cell r="F84">
            <v>3</v>
          </cell>
        </row>
        <row r="85">
          <cell r="B85" t="str">
            <v>烟薯</v>
          </cell>
          <cell r="C85" t="str">
            <v>件</v>
          </cell>
          <cell r="F85">
            <v>4.5999999999999996</v>
          </cell>
        </row>
        <row r="86">
          <cell r="B86" t="str">
            <v>榴莲蜜薯3斤装</v>
          </cell>
          <cell r="C86" t="str">
            <v>10包/件</v>
          </cell>
          <cell r="F86">
            <v>11</v>
          </cell>
        </row>
        <row r="87">
          <cell r="B87" t="str">
            <v>流蜜烟薯3斤装</v>
          </cell>
          <cell r="C87" t="str">
            <v>10包/件</v>
          </cell>
          <cell r="F87">
            <v>7</v>
          </cell>
        </row>
        <row r="88">
          <cell r="B88" t="str">
            <v>莴苣青皮青肉</v>
          </cell>
          <cell r="C88" t="str">
            <v>件</v>
          </cell>
          <cell r="F88">
            <v>2.4</v>
          </cell>
        </row>
        <row r="89">
          <cell r="B89" t="str">
            <v>铁山药</v>
          </cell>
          <cell r="C89" t="str">
            <v>件</v>
          </cell>
          <cell r="F89">
            <v>9.1999999999999993</v>
          </cell>
        </row>
        <row r="90">
          <cell r="B90" t="str">
            <v>山药</v>
          </cell>
          <cell r="C90" t="str">
            <v>件</v>
          </cell>
          <cell r="F90">
            <v>5</v>
          </cell>
        </row>
        <row r="91">
          <cell r="B91" t="str">
            <v>本地胡萝卜</v>
          </cell>
          <cell r="C91" t="str">
            <v>件</v>
          </cell>
          <cell r="F91">
            <v>1.6</v>
          </cell>
        </row>
        <row r="92">
          <cell r="B92" t="str">
            <v>水果胡萝卜</v>
          </cell>
          <cell r="C92" t="str">
            <v>件</v>
          </cell>
          <cell r="F92">
            <v>11.6</v>
          </cell>
        </row>
        <row r="93">
          <cell r="B93" t="str">
            <v>水果青萝卜</v>
          </cell>
          <cell r="C93" t="str">
            <v>件/20斤</v>
          </cell>
          <cell r="F93">
            <v>3.8</v>
          </cell>
        </row>
        <row r="94">
          <cell r="B94" t="str">
            <v>冰淇淋萝卜</v>
          </cell>
          <cell r="C94" t="str">
            <v>件</v>
          </cell>
          <cell r="F94">
            <v>5.4</v>
          </cell>
        </row>
        <row r="95">
          <cell r="B95" t="str">
            <v>红萝卜</v>
          </cell>
          <cell r="C95" t="str">
            <v>件</v>
          </cell>
          <cell r="F95">
            <v>1.26</v>
          </cell>
        </row>
        <row r="96">
          <cell r="B96" t="str">
            <v>白萝卜</v>
          </cell>
          <cell r="C96" t="str">
            <v>件/30斤</v>
          </cell>
          <cell r="F96">
            <v>1.4</v>
          </cell>
        </row>
        <row r="97">
          <cell r="B97" t="str">
            <v>胡萝卜箱装</v>
          </cell>
          <cell r="C97" t="str">
            <v>件/18斤</v>
          </cell>
          <cell r="F97">
            <v>3.2</v>
          </cell>
        </row>
        <row r="98">
          <cell r="B98" t="str">
            <v>老蒜头</v>
          </cell>
          <cell r="C98" t="str">
            <v>10斤</v>
          </cell>
          <cell r="F98">
            <v>7.9</v>
          </cell>
        </row>
        <row r="99">
          <cell r="B99" t="str">
            <v>老蒜头 6.5公分</v>
          </cell>
          <cell r="C99" t="str">
            <v>5斤</v>
          </cell>
          <cell r="F99">
            <v>8.3000000000000007</v>
          </cell>
        </row>
        <row r="100">
          <cell r="B100" t="str">
            <v>新蒜</v>
          </cell>
          <cell r="C100" t="str">
            <v>10斤</v>
          </cell>
          <cell r="F100">
            <v>4.9000000000000004</v>
          </cell>
        </row>
        <row r="101">
          <cell r="B101" t="str">
            <v>蒜瓣</v>
          </cell>
          <cell r="C101" t="str">
            <v>5斤</v>
          </cell>
          <cell r="F101">
            <v>5.8</v>
          </cell>
        </row>
        <row r="102">
          <cell r="B102" t="str">
            <v>手剥蒜子</v>
          </cell>
          <cell r="C102" t="str">
            <v>5斤</v>
          </cell>
          <cell r="F102">
            <v>8.8000000000000007</v>
          </cell>
        </row>
        <row r="103">
          <cell r="B103" t="str">
            <v>生姜一级</v>
          </cell>
          <cell r="C103" t="str">
            <v>件</v>
          </cell>
          <cell r="F103">
            <v>7.8</v>
          </cell>
        </row>
        <row r="104">
          <cell r="B104" t="str">
            <v>小黄姜</v>
          </cell>
          <cell r="C104" t="str">
            <v>件</v>
          </cell>
          <cell r="F104">
            <v>7.8</v>
          </cell>
        </row>
        <row r="105">
          <cell r="B105" t="str">
            <v>网袋大蒜</v>
          </cell>
          <cell r="C105" t="str">
            <v>10斤/件</v>
          </cell>
          <cell r="F105">
            <v>8.4</v>
          </cell>
        </row>
        <row r="106">
          <cell r="B106" t="str">
            <v>新葱</v>
          </cell>
          <cell r="C106" t="str">
            <v>捆</v>
          </cell>
          <cell r="F106">
            <v>3.9</v>
          </cell>
        </row>
        <row r="107">
          <cell r="B107" t="str">
            <v>新蒜苔红泡</v>
          </cell>
          <cell r="F107">
            <v>4.5</v>
          </cell>
        </row>
        <row r="108">
          <cell r="B108" t="str">
            <v>新蒜苔青泡</v>
          </cell>
          <cell r="F108">
            <v>9.4</v>
          </cell>
        </row>
        <row r="109">
          <cell r="B109" t="str">
            <v>秀珍菇（黑）</v>
          </cell>
          <cell r="C109" t="str">
            <v>件</v>
          </cell>
          <cell r="F109">
            <v>16</v>
          </cell>
        </row>
        <row r="110">
          <cell r="B110" t="str">
            <v>大杏鲍菇</v>
          </cell>
          <cell r="F110">
            <v>6.1</v>
          </cell>
        </row>
        <row r="111">
          <cell r="B111" t="str">
            <v>蟹味菇散</v>
          </cell>
          <cell r="F111">
            <v>9.8000000000000007</v>
          </cell>
        </row>
        <row r="112">
          <cell r="B112" t="str">
            <v>半花菇</v>
          </cell>
          <cell r="C112" t="str">
            <v>5斤/袋</v>
          </cell>
          <cell r="F112">
            <v>13</v>
          </cell>
        </row>
        <row r="113">
          <cell r="B113" t="str">
            <v>散海味菇</v>
          </cell>
          <cell r="F113">
            <v>5.4</v>
          </cell>
        </row>
        <row r="114">
          <cell r="B114" t="str">
            <v>蘑菇头</v>
          </cell>
          <cell r="C114" t="str">
            <v>盒</v>
          </cell>
          <cell r="F114">
            <v>4.5</v>
          </cell>
        </row>
        <row r="115">
          <cell r="B115" t="str">
            <v>金针菇</v>
          </cell>
          <cell r="C115" t="str">
            <v>包</v>
          </cell>
          <cell r="F115">
            <v>5</v>
          </cell>
        </row>
        <row r="116">
          <cell r="B116" t="str">
            <v>黄金针菇</v>
          </cell>
          <cell r="C116" t="str">
            <v>包</v>
          </cell>
          <cell r="F116">
            <v>4.3</v>
          </cell>
        </row>
        <row r="117">
          <cell r="B117" t="str">
            <v>大平菇</v>
          </cell>
          <cell r="C117" t="str">
            <v>框</v>
          </cell>
          <cell r="F117">
            <v>7.5</v>
          </cell>
        </row>
        <row r="118">
          <cell r="B118" t="str">
            <v>精品全花菇</v>
          </cell>
          <cell r="C118" t="str">
            <v>5斤/袋</v>
          </cell>
          <cell r="F118">
            <v>13.8</v>
          </cell>
        </row>
        <row r="119">
          <cell r="B119" t="str">
            <v>茶树菇</v>
          </cell>
          <cell r="F119">
            <v>9.9</v>
          </cell>
        </row>
        <row r="120">
          <cell r="B120" t="str">
            <v>绣球菌</v>
          </cell>
          <cell r="C120" t="str">
            <v>包</v>
          </cell>
          <cell r="F120">
            <v>5.5</v>
          </cell>
        </row>
        <row r="121">
          <cell r="B121" t="str">
            <v>鹿茸菇</v>
          </cell>
          <cell r="C121" t="str">
            <v>件</v>
          </cell>
          <cell r="F121">
            <v>13</v>
          </cell>
        </row>
        <row r="122">
          <cell r="B122" t="str">
            <v>盒装青豆苗</v>
          </cell>
          <cell r="C122" t="str">
            <v>5盒</v>
          </cell>
          <cell r="F122">
            <v>1.3</v>
          </cell>
        </row>
        <row r="123">
          <cell r="B123" t="str">
            <v>虫草菇</v>
          </cell>
          <cell r="F123">
            <v>10.6</v>
          </cell>
        </row>
        <row r="124">
          <cell r="B124" t="str">
            <v>双色菇</v>
          </cell>
          <cell r="F124">
            <v>6.1</v>
          </cell>
        </row>
        <row r="125">
          <cell r="B125" t="str">
            <v>棒银耳</v>
          </cell>
          <cell r="C125" t="str">
            <v>3棒</v>
          </cell>
          <cell r="F125">
            <v>8.8000000000000007</v>
          </cell>
        </row>
        <row r="126">
          <cell r="B126" t="str">
            <v>新老贝贝精品</v>
          </cell>
          <cell r="F126">
            <v>3.26</v>
          </cell>
        </row>
        <row r="127">
          <cell r="B127" t="str">
            <v>板栗南瓜</v>
          </cell>
          <cell r="F127">
            <v>5.5</v>
          </cell>
        </row>
        <row r="128">
          <cell r="B128" t="str">
            <v>甜敦敦南瓜</v>
          </cell>
          <cell r="C128" t="str">
            <v>件</v>
          </cell>
          <cell r="F128">
            <v>78</v>
          </cell>
        </row>
        <row r="129">
          <cell r="B129" t="str">
            <v>鲜玉米外地</v>
          </cell>
          <cell r="F129">
            <v>3.8</v>
          </cell>
        </row>
        <row r="130">
          <cell r="B130" t="str">
            <v>水果玉米外地</v>
          </cell>
          <cell r="F130">
            <v>3.9</v>
          </cell>
        </row>
        <row r="131">
          <cell r="B131" t="str">
            <v>短小白嘴山药</v>
          </cell>
          <cell r="F131">
            <v>12.4</v>
          </cell>
        </row>
        <row r="132">
          <cell r="B132" t="str">
            <v>鲜花生红米带泥</v>
          </cell>
          <cell r="F132">
            <v>12</v>
          </cell>
        </row>
        <row r="133">
          <cell r="B133" t="str">
            <v>毛豆粒</v>
          </cell>
          <cell r="F133">
            <v>22</v>
          </cell>
        </row>
        <row r="134">
          <cell r="B134" t="str">
            <v>本地毛豆角</v>
          </cell>
          <cell r="F134">
            <v>11.4</v>
          </cell>
        </row>
        <row r="135">
          <cell r="B135" t="str">
            <v>黄金瓜</v>
          </cell>
          <cell r="F135">
            <v>5.5</v>
          </cell>
        </row>
        <row r="136">
          <cell r="B136" t="str">
            <v>瓠子</v>
          </cell>
          <cell r="F136">
            <v>5.7</v>
          </cell>
        </row>
        <row r="137">
          <cell r="B137" t="str">
            <v>关小二黄糯玉米</v>
          </cell>
          <cell r="C137" t="str">
            <v>件</v>
          </cell>
          <cell r="F137">
            <v>133</v>
          </cell>
        </row>
        <row r="138">
          <cell r="B138" t="str">
            <v>秋风十里甜糯玉米</v>
          </cell>
          <cell r="C138" t="str">
            <v>件</v>
          </cell>
          <cell r="F138">
            <v>85</v>
          </cell>
        </row>
        <row r="139">
          <cell r="B139" t="str">
            <v>秋风十里黄糯玉米</v>
          </cell>
          <cell r="C139" t="str">
            <v>件</v>
          </cell>
          <cell r="F139">
            <v>85</v>
          </cell>
        </row>
        <row r="140">
          <cell r="B140" t="str">
            <v>秋风十里花糯玉米</v>
          </cell>
          <cell r="C140" t="str">
            <v>件</v>
          </cell>
          <cell r="F140">
            <v>85</v>
          </cell>
        </row>
        <row r="141">
          <cell r="B141" t="str">
            <v>秋风十里黑糯玉米</v>
          </cell>
          <cell r="C141" t="str">
            <v>件</v>
          </cell>
          <cell r="F141">
            <v>85</v>
          </cell>
        </row>
        <row r="142">
          <cell r="B142" t="str">
            <v>拇指玉米</v>
          </cell>
          <cell r="C142" t="str">
            <v>件</v>
          </cell>
          <cell r="F142">
            <v>29</v>
          </cell>
        </row>
        <row r="143">
          <cell r="B143" t="str">
            <v>兢农黑糯玉米</v>
          </cell>
          <cell r="C143" t="str">
            <v>件</v>
          </cell>
          <cell r="F143">
            <v>38</v>
          </cell>
        </row>
        <row r="144">
          <cell r="B144" t="str">
            <v>花生芽</v>
          </cell>
          <cell r="C144" t="str">
            <v>3盒</v>
          </cell>
          <cell r="F144">
            <v>4.5</v>
          </cell>
        </row>
        <row r="145">
          <cell r="B145" t="str">
            <v>豌豆芽</v>
          </cell>
          <cell r="C145" t="str">
            <v>3盒</v>
          </cell>
          <cell r="F145">
            <v>4</v>
          </cell>
        </row>
        <row r="146">
          <cell r="B146" t="str">
            <v>佛手瓜</v>
          </cell>
          <cell r="C146" t="str">
            <v>20斤/件</v>
          </cell>
          <cell r="F146">
            <v>5.8</v>
          </cell>
        </row>
        <row r="147">
          <cell r="B147" t="str">
            <v>茭白</v>
          </cell>
          <cell r="C147" t="str">
            <v>4斤/包</v>
          </cell>
          <cell r="F147">
            <v>11</v>
          </cell>
        </row>
        <row r="148">
          <cell r="B148" t="str">
            <v>老藕</v>
          </cell>
          <cell r="F148">
            <v>6</v>
          </cell>
        </row>
        <row r="149">
          <cell r="B149" t="str">
            <v>新藕</v>
          </cell>
          <cell r="F149">
            <v>10.8</v>
          </cell>
        </row>
        <row r="150">
          <cell r="B150" t="str">
            <v>水果豌豆</v>
          </cell>
          <cell r="F150">
            <v>3.3</v>
          </cell>
        </row>
        <row r="151">
          <cell r="B151" t="str">
            <v>马蹄（袋装半斤）</v>
          </cell>
          <cell r="C151" t="str">
            <v>5包</v>
          </cell>
          <cell r="F151">
            <v>6</v>
          </cell>
        </row>
        <row r="152">
          <cell r="B152" t="str">
            <v>板栗仁</v>
          </cell>
          <cell r="C152" t="str">
            <v>5包</v>
          </cell>
          <cell r="F152">
            <v>6.3</v>
          </cell>
        </row>
        <row r="153">
          <cell r="B153" t="str">
            <v>毛芋片</v>
          </cell>
          <cell r="C153" t="str">
            <v>5包</v>
          </cell>
          <cell r="F153">
            <v>7.5</v>
          </cell>
        </row>
        <row r="154">
          <cell r="B154" t="str">
            <v>山药豆</v>
          </cell>
          <cell r="F154">
            <v>5.5</v>
          </cell>
        </row>
        <row r="155">
          <cell r="B155" t="str">
            <v>大架山玉米</v>
          </cell>
          <cell r="C155" t="str">
            <v>件</v>
          </cell>
          <cell r="F155">
            <v>130</v>
          </cell>
        </row>
        <row r="156">
          <cell r="B156" t="str">
            <v>荔浦芋头</v>
          </cell>
          <cell r="F156">
            <v>10</v>
          </cell>
        </row>
        <row r="157">
          <cell r="B157" t="str">
            <v>樱桃小萝卜</v>
          </cell>
          <cell r="F157">
            <v>5.6</v>
          </cell>
        </row>
        <row r="158">
          <cell r="B158" t="str">
            <v>芦笋</v>
          </cell>
          <cell r="F158">
            <v>15.4</v>
          </cell>
        </row>
        <row r="159">
          <cell r="B159" t="str">
            <v>南瓜花</v>
          </cell>
          <cell r="F159">
            <v>9</v>
          </cell>
        </row>
        <row r="160">
          <cell r="B160" t="str">
            <v>羽衣甘蓝</v>
          </cell>
          <cell r="F160">
            <v>26</v>
          </cell>
        </row>
        <row r="161">
          <cell r="B161" t="str">
            <v>茨菇</v>
          </cell>
          <cell r="F161">
            <v>12</v>
          </cell>
        </row>
        <row r="162">
          <cell r="B162" t="str">
            <v>鱼腥草</v>
          </cell>
          <cell r="F162">
            <v>21.2</v>
          </cell>
        </row>
        <row r="163">
          <cell r="B163" t="str">
            <v>小白萝卜</v>
          </cell>
          <cell r="F163">
            <v>4.4000000000000004</v>
          </cell>
        </row>
        <row r="164">
          <cell r="B164" t="str">
            <v>旱黄瓜</v>
          </cell>
          <cell r="C164" t="str">
            <v>件</v>
          </cell>
          <cell r="F164">
            <v>17</v>
          </cell>
        </row>
        <row r="165">
          <cell r="B165" t="str">
            <v>黄花菜</v>
          </cell>
          <cell r="F165">
            <v>15.6</v>
          </cell>
        </row>
        <row r="166">
          <cell r="B166" t="str">
            <v>蚕豆米</v>
          </cell>
          <cell r="C166" t="str">
            <v>2斤/包</v>
          </cell>
          <cell r="F166">
            <v>22</v>
          </cell>
        </row>
        <row r="167">
          <cell r="B167" t="str">
            <v>本地香椿散</v>
          </cell>
          <cell r="F167">
            <v>11.6</v>
          </cell>
        </row>
        <row r="168">
          <cell r="B168" t="str">
            <v>6盒装小黄瓜</v>
          </cell>
          <cell r="C168" t="str">
            <v>件</v>
          </cell>
          <cell r="F168">
            <v>53</v>
          </cell>
        </row>
        <row r="169">
          <cell r="B169" t="str">
            <v>猪耳梅</v>
          </cell>
          <cell r="F169">
            <v>7.2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>
      <selection activeCell="H7" sqref="H7"/>
    </sheetView>
  </sheetViews>
  <sheetFormatPr defaultColWidth="9" defaultRowHeight="24.95" customHeight="1" x14ac:dyDescent="0.15"/>
  <cols>
    <col min="1" max="1" width="4.625" style="1" customWidth="1"/>
    <col min="2" max="2" width="8.625" style="1" customWidth="1"/>
    <col min="3" max="3" width="25.875" style="1" customWidth="1"/>
    <col min="4" max="4" width="6.75" style="1" customWidth="1"/>
    <col min="5" max="5" width="8.75" style="1" customWidth="1"/>
    <col min="6" max="6" width="8" style="4" customWidth="1"/>
    <col min="7" max="7" width="8.25" style="4" customWidth="1"/>
    <col min="8" max="8" width="7.875" style="1" customWidth="1"/>
    <col min="9" max="9" width="7.5" style="1" customWidth="1"/>
    <col min="10" max="10" width="8.625" style="4" customWidth="1"/>
    <col min="11" max="11" width="8" style="1" customWidth="1"/>
    <col min="12" max="13" width="9" style="5" customWidth="1"/>
    <col min="14" max="14" width="9.625" style="1" hidden="1" customWidth="1"/>
    <col min="15" max="15" width="9.625" style="1" customWidth="1"/>
    <col min="16" max="16" width="10.25" style="1" customWidth="1"/>
    <col min="17" max="17" width="9.75" style="1" customWidth="1"/>
    <col min="18" max="18" width="9.25" style="1" customWidth="1"/>
    <col min="19" max="19" width="9.25" style="6" customWidth="1"/>
    <col min="20" max="20" width="16" style="1" customWidth="1"/>
    <col min="21" max="21" width="8.75" style="7" customWidth="1"/>
    <col min="22" max="23" width="9" style="7" customWidth="1"/>
    <col min="24" max="16384" width="9" style="1"/>
  </cols>
  <sheetData>
    <row r="1" spans="1:23" ht="24.95" customHeight="1" x14ac:dyDescent="0.15">
      <c r="A1" s="62" t="s">
        <v>0</v>
      </c>
      <c r="B1" s="62"/>
      <c r="C1" s="62"/>
      <c r="D1" s="62"/>
      <c r="E1" s="62"/>
      <c r="F1" s="63"/>
      <c r="G1" s="63"/>
      <c r="H1" s="62"/>
      <c r="I1" s="62"/>
      <c r="J1" s="63"/>
      <c r="K1" s="62"/>
      <c r="L1" s="62"/>
      <c r="M1" s="62"/>
      <c r="N1" s="62"/>
      <c r="O1" s="62"/>
      <c r="P1" s="62"/>
      <c r="Q1" s="62"/>
      <c r="R1" s="62"/>
      <c r="S1" s="62"/>
      <c r="T1" s="62"/>
      <c r="U1" s="8"/>
      <c r="V1" s="8"/>
      <c r="W1" s="8"/>
    </row>
    <row r="2" spans="1:23" ht="54" customHeight="1" x14ac:dyDescent="0.15">
      <c r="A2" s="64" t="s">
        <v>1</v>
      </c>
      <c r="B2" s="65"/>
      <c r="C2" s="65"/>
      <c r="D2" s="65"/>
      <c r="E2" s="65"/>
      <c r="F2" s="66"/>
      <c r="G2" s="66"/>
      <c r="H2" s="65"/>
      <c r="I2" s="65"/>
      <c r="J2" s="66"/>
      <c r="K2" s="65"/>
      <c r="L2" s="65"/>
      <c r="M2" s="65"/>
      <c r="N2" s="65"/>
      <c r="O2" s="65"/>
      <c r="P2" s="65"/>
      <c r="Q2" s="67" t="s">
        <v>2</v>
      </c>
      <c r="R2" s="68"/>
      <c r="S2" s="68"/>
      <c r="T2" s="69"/>
      <c r="U2" s="9"/>
      <c r="V2" s="9"/>
      <c r="W2" s="9"/>
    </row>
    <row r="3" spans="1:23" customFormat="1" ht="3" hidden="1" customHeight="1" x14ac:dyDescent="0.15">
      <c r="A3" s="10"/>
      <c r="B3" s="70" t="s">
        <v>3</v>
      </c>
      <c r="C3" s="71"/>
      <c r="D3" s="72"/>
      <c r="E3" s="73"/>
      <c r="F3" s="12"/>
      <c r="G3" s="12"/>
      <c r="H3" s="11"/>
      <c r="I3" s="13"/>
      <c r="J3" s="14"/>
      <c r="K3" s="13"/>
      <c r="L3" s="15" t="s">
        <v>4</v>
      </c>
      <c r="M3" s="13"/>
      <c r="N3" s="16" t="s">
        <v>5</v>
      </c>
      <c r="O3" s="17"/>
      <c r="P3" s="17"/>
      <c r="Q3" s="18"/>
      <c r="R3" s="19" t="s">
        <v>6</v>
      </c>
      <c r="S3" s="16" t="s">
        <v>7</v>
      </c>
      <c r="T3" s="20"/>
      <c r="U3" s="21" t="s">
        <v>8</v>
      </c>
      <c r="V3" s="21" t="s">
        <v>9</v>
      </c>
    </row>
    <row r="4" spans="1:23" s="2" customFormat="1" ht="45.75" customHeight="1" x14ac:dyDescent="0.15">
      <c r="A4" s="22" t="s">
        <v>10</v>
      </c>
      <c r="B4" s="22" t="s">
        <v>11</v>
      </c>
      <c r="C4" s="23" t="s">
        <v>12</v>
      </c>
      <c r="D4" s="23" t="s">
        <v>13</v>
      </c>
      <c r="E4" s="22" t="s">
        <v>14</v>
      </c>
      <c r="F4" s="24" t="s">
        <v>15</v>
      </c>
      <c r="G4" s="24" t="s">
        <v>16</v>
      </c>
      <c r="H4" s="22" t="s">
        <v>17</v>
      </c>
      <c r="I4" s="22" t="s">
        <v>18</v>
      </c>
      <c r="J4" s="24" t="s">
        <v>19</v>
      </c>
      <c r="K4" s="22" t="s">
        <v>20</v>
      </c>
      <c r="L4" s="22" t="s">
        <v>21</v>
      </c>
      <c r="M4" s="22" t="s">
        <v>22</v>
      </c>
      <c r="N4" s="22" t="s">
        <v>23</v>
      </c>
      <c r="O4" s="25"/>
      <c r="P4" s="25" t="s">
        <v>24</v>
      </c>
      <c r="Q4" s="26" t="s">
        <v>25</v>
      </c>
      <c r="R4" s="27" t="s">
        <v>26</v>
      </c>
      <c r="S4" s="28" t="s">
        <v>27</v>
      </c>
      <c r="T4" s="29" t="s">
        <v>28</v>
      </c>
    </row>
    <row r="5" spans="1:23" s="3" customFormat="1" ht="15.95" customHeight="1" x14ac:dyDescent="0.15">
      <c r="A5" s="30">
        <v>1</v>
      </c>
      <c r="B5" s="31"/>
      <c r="C5" s="32" t="s">
        <v>29</v>
      </c>
      <c r="D5" s="33"/>
      <c r="E5" s="34">
        <v>2</v>
      </c>
      <c r="F5" s="35">
        <v>6.3</v>
      </c>
      <c r="G5" s="35">
        <v>2</v>
      </c>
      <c r="H5" s="36">
        <f t="shared" ref="H5:H25" si="0">F5/G5</f>
        <v>3.15</v>
      </c>
      <c r="I5" s="30"/>
      <c r="J5" s="37"/>
      <c r="K5" s="36">
        <f t="shared" ref="K5:K25" si="1">I5*J5</f>
        <v>0</v>
      </c>
      <c r="L5" s="30">
        <f t="shared" ref="L5:L25" si="2">H5+K5</f>
        <v>3.15</v>
      </c>
      <c r="M5" s="30">
        <f t="shared" ref="M5:M25" si="3">H5-(H5*D5)</f>
        <v>3.15</v>
      </c>
      <c r="N5" s="38">
        <f>VLOOKUP(C5,[1]蔬菜!$B:$F,5,0)</f>
        <v>5.7</v>
      </c>
      <c r="O5" s="39">
        <f>N5/0.95</f>
        <v>6.0000000000000009</v>
      </c>
      <c r="P5" s="39">
        <f>M5*O5</f>
        <v>18.900000000000002</v>
      </c>
      <c r="Q5" s="40"/>
      <c r="R5" s="38"/>
      <c r="S5" s="41">
        <f t="shared" ref="S5:S25" si="4">Q5*R5</f>
        <v>0</v>
      </c>
      <c r="T5" s="42"/>
    </row>
    <row r="6" spans="1:23" s="3" customFormat="1" ht="15.95" customHeight="1" x14ac:dyDescent="0.15">
      <c r="A6" s="30">
        <v>2</v>
      </c>
      <c r="B6" s="31"/>
      <c r="C6" s="32" t="s">
        <v>30</v>
      </c>
      <c r="D6" s="33"/>
      <c r="E6" s="34">
        <v>1</v>
      </c>
      <c r="F6" s="43">
        <v>3.1</v>
      </c>
      <c r="G6" s="35">
        <v>2</v>
      </c>
      <c r="H6" s="36">
        <f t="shared" si="0"/>
        <v>1.55</v>
      </c>
      <c r="I6" s="30"/>
      <c r="J6" s="37"/>
      <c r="K6" s="36">
        <f t="shared" si="1"/>
        <v>0</v>
      </c>
      <c r="L6" s="30">
        <f t="shared" si="2"/>
        <v>1.55</v>
      </c>
      <c r="M6" s="30">
        <f t="shared" si="3"/>
        <v>1.55</v>
      </c>
      <c r="N6" s="38">
        <f>VLOOKUP(C6,[1]蔬菜!$B:$F,5,0)</f>
        <v>6.2</v>
      </c>
      <c r="O6" s="39">
        <f t="shared" ref="O6:O25" si="5">N6/0.95</f>
        <v>6.526315789473685</v>
      </c>
      <c r="P6" s="39">
        <f t="shared" ref="P6:P25" si="6">M6*O6</f>
        <v>10.115789473684211</v>
      </c>
      <c r="Q6" s="40"/>
      <c r="R6" s="38"/>
      <c r="S6" s="41">
        <f t="shared" si="4"/>
        <v>0</v>
      </c>
      <c r="T6" s="42"/>
    </row>
    <row r="7" spans="1:23" s="3" customFormat="1" ht="15.95" customHeight="1" x14ac:dyDescent="0.15">
      <c r="A7" s="30">
        <v>3</v>
      </c>
      <c r="B7" s="31"/>
      <c r="C7" s="32" t="s">
        <v>31</v>
      </c>
      <c r="D7" s="33"/>
      <c r="E7" s="34">
        <v>2.5</v>
      </c>
      <c r="F7" s="43">
        <v>5</v>
      </c>
      <c r="G7" s="35">
        <v>2</v>
      </c>
      <c r="H7" s="36">
        <f t="shared" si="0"/>
        <v>2.5</v>
      </c>
      <c r="I7" s="30"/>
      <c r="J7" s="37"/>
      <c r="K7" s="36">
        <f t="shared" si="1"/>
        <v>0</v>
      </c>
      <c r="L7" s="30">
        <f t="shared" si="2"/>
        <v>2.5</v>
      </c>
      <c r="M7" s="30">
        <f t="shared" si="3"/>
        <v>2.5</v>
      </c>
      <c r="N7" s="38">
        <v>9.4</v>
      </c>
      <c r="O7" s="39">
        <f t="shared" si="5"/>
        <v>9.8947368421052637</v>
      </c>
      <c r="P7" s="39">
        <f t="shared" si="6"/>
        <v>24.736842105263158</v>
      </c>
      <c r="Q7" s="40"/>
      <c r="R7" s="38"/>
      <c r="S7" s="41">
        <f t="shared" si="4"/>
        <v>0</v>
      </c>
      <c r="T7" s="42"/>
    </row>
    <row r="8" spans="1:23" s="3" customFormat="1" ht="15.95" customHeight="1" x14ac:dyDescent="0.15">
      <c r="A8" s="30">
        <v>4</v>
      </c>
      <c r="B8" s="31"/>
      <c r="C8" s="32" t="s">
        <v>32</v>
      </c>
      <c r="D8" s="33"/>
      <c r="E8" s="34">
        <v>10</v>
      </c>
      <c r="F8" s="43">
        <v>7</v>
      </c>
      <c r="G8" s="35">
        <v>2</v>
      </c>
      <c r="H8" s="36">
        <f t="shared" si="0"/>
        <v>3.5</v>
      </c>
      <c r="I8" s="30"/>
      <c r="J8" s="37"/>
      <c r="K8" s="36">
        <f t="shared" si="1"/>
        <v>0</v>
      </c>
      <c r="L8" s="30">
        <f t="shared" si="2"/>
        <v>3.5</v>
      </c>
      <c r="M8" s="30">
        <f t="shared" si="3"/>
        <v>3.5</v>
      </c>
      <c r="N8" s="38">
        <f>VLOOKUP(C8,[1]蔬菜!$B:$F,5,0)</f>
        <v>3.8</v>
      </c>
      <c r="O8" s="39">
        <f t="shared" si="5"/>
        <v>4</v>
      </c>
      <c r="P8" s="39">
        <f t="shared" si="6"/>
        <v>14</v>
      </c>
      <c r="Q8" s="40"/>
      <c r="R8" s="38"/>
      <c r="S8" s="41">
        <f t="shared" si="4"/>
        <v>0</v>
      </c>
      <c r="T8" s="42"/>
    </row>
    <row r="9" spans="1:23" s="3" customFormat="1" ht="15.95" customHeight="1" x14ac:dyDescent="0.15">
      <c r="A9" s="30">
        <v>5</v>
      </c>
      <c r="B9" s="31"/>
      <c r="C9" s="32" t="s">
        <v>33</v>
      </c>
      <c r="D9" s="33"/>
      <c r="E9" s="34">
        <v>2</v>
      </c>
      <c r="F9" s="43">
        <v>7.2</v>
      </c>
      <c r="G9" s="35">
        <v>2</v>
      </c>
      <c r="H9" s="36">
        <f t="shared" si="0"/>
        <v>3.6</v>
      </c>
      <c r="I9" s="30"/>
      <c r="J9" s="37"/>
      <c r="K9" s="36">
        <f t="shared" si="1"/>
        <v>0</v>
      </c>
      <c r="L9" s="30">
        <f t="shared" si="2"/>
        <v>3.6</v>
      </c>
      <c r="M9" s="30">
        <f t="shared" si="3"/>
        <v>3.6</v>
      </c>
      <c r="N9" s="38">
        <f>VLOOKUP(C9,[1]蔬菜!$B:$F,5,0)</f>
        <v>5.5</v>
      </c>
      <c r="O9" s="39">
        <f t="shared" si="5"/>
        <v>5.7894736842105265</v>
      </c>
      <c r="P9" s="39">
        <f t="shared" si="6"/>
        <v>20.842105263157897</v>
      </c>
      <c r="Q9" s="40"/>
      <c r="R9" s="38"/>
      <c r="S9" s="41">
        <f t="shared" si="4"/>
        <v>0</v>
      </c>
      <c r="T9" s="42"/>
    </row>
    <row r="10" spans="1:23" s="3" customFormat="1" ht="15.95" customHeight="1" x14ac:dyDescent="0.15">
      <c r="A10" s="30">
        <v>6</v>
      </c>
      <c r="B10" s="31"/>
      <c r="C10" s="32" t="s">
        <v>34</v>
      </c>
      <c r="D10" s="33"/>
      <c r="E10" s="34">
        <v>2</v>
      </c>
      <c r="F10" s="43">
        <v>4</v>
      </c>
      <c r="G10" s="35">
        <v>2</v>
      </c>
      <c r="H10" s="36">
        <f t="shared" si="0"/>
        <v>2</v>
      </c>
      <c r="I10" s="30"/>
      <c r="J10" s="37"/>
      <c r="K10" s="36">
        <f t="shared" si="1"/>
        <v>0</v>
      </c>
      <c r="L10" s="30">
        <f t="shared" si="2"/>
        <v>2</v>
      </c>
      <c r="M10" s="30">
        <f t="shared" si="3"/>
        <v>2</v>
      </c>
      <c r="N10" s="38">
        <f>VLOOKUP(C10,[1]蔬菜!$B:$F,5,0)</f>
        <v>4.4000000000000004</v>
      </c>
      <c r="O10" s="39">
        <f t="shared" si="5"/>
        <v>4.6315789473684212</v>
      </c>
      <c r="P10" s="39">
        <f t="shared" si="6"/>
        <v>9.2631578947368425</v>
      </c>
      <c r="Q10" s="40"/>
      <c r="R10" s="38"/>
      <c r="S10" s="41">
        <f t="shared" si="4"/>
        <v>0</v>
      </c>
      <c r="T10" s="42"/>
    </row>
    <row r="11" spans="1:23" s="3" customFormat="1" ht="15.95" customHeight="1" x14ac:dyDescent="0.15">
      <c r="A11" s="30">
        <v>7</v>
      </c>
      <c r="B11" s="31"/>
      <c r="C11" s="32" t="s">
        <v>35</v>
      </c>
      <c r="D11" s="33"/>
      <c r="E11" s="34">
        <v>3</v>
      </c>
      <c r="F11" s="43">
        <v>6</v>
      </c>
      <c r="G11" s="35">
        <v>2</v>
      </c>
      <c r="H11" s="36">
        <f t="shared" si="0"/>
        <v>3</v>
      </c>
      <c r="I11" s="30"/>
      <c r="J11" s="37"/>
      <c r="K11" s="36">
        <f t="shared" si="1"/>
        <v>0</v>
      </c>
      <c r="L11" s="30">
        <f t="shared" si="2"/>
        <v>3</v>
      </c>
      <c r="M11" s="30">
        <f t="shared" si="3"/>
        <v>3</v>
      </c>
      <c r="N11" s="38">
        <f>VLOOKUP(C11,[1]蔬菜!$B:$F,5,0)</f>
        <v>11.4</v>
      </c>
      <c r="O11" s="39">
        <f t="shared" si="5"/>
        <v>12.000000000000002</v>
      </c>
      <c r="P11" s="39">
        <f t="shared" si="6"/>
        <v>36.000000000000007</v>
      </c>
      <c r="Q11" s="40"/>
      <c r="R11" s="38"/>
      <c r="S11" s="41">
        <f t="shared" si="4"/>
        <v>0</v>
      </c>
      <c r="T11" s="42"/>
    </row>
    <row r="12" spans="1:23" s="3" customFormat="1" ht="15.95" customHeight="1" x14ac:dyDescent="0.15">
      <c r="A12" s="30">
        <v>8</v>
      </c>
      <c r="B12" s="31"/>
      <c r="C12" s="32" t="s">
        <v>36</v>
      </c>
      <c r="D12" s="33"/>
      <c r="E12" s="34">
        <v>10</v>
      </c>
      <c r="F12" s="43">
        <v>58</v>
      </c>
      <c r="G12" s="35">
        <v>2</v>
      </c>
      <c r="H12" s="36">
        <f t="shared" si="0"/>
        <v>29</v>
      </c>
      <c r="I12" s="30"/>
      <c r="J12" s="37"/>
      <c r="K12" s="36">
        <f t="shared" si="1"/>
        <v>0</v>
      </c>
      <c r="L12" s="30">
        <f t="shared" si="2"/>
        <v>29</v>
      </c>
      <c r="M12" s="30">
        <f t="shared" si="3"/>
        <v>29</v>
      </c>
      <c r="N12" s="38">
        <f>VLOOKUP(C12,[1]蔬菜!$B:$F,5,0)</f>
        <v>2.4</v>
      </c>
      <c r="O12" s="39">
        <f t="shared" si="5"/>
        <v>2.5263157894736841</v>
      </c>
      <c r="P12" s="39">
        <f t="shared" si="6"/>
        <v>73.263157894736835</v>
      </c>
      <c r="Q12" s="40"/>
      <c r="R12" s="38"/>
      <c r="S12" s="41">
        <f t="shared" si="4"/>
        <v>0</v>
      </c>
      <c r="T12" s="42"/>
    </row>
    <row r="13" spans="1:23" s="3" customFormat="1" ht="15.95" customHeight="1" x14ac:dyDescent="0.15">
      <c r="A13" s="30">
        <v>9</v>
      </c>
      <c r="B13" s="31"/>
      <c r="C13" s="32" t="s">
        <v>37</v>
      </c>
      <c r="D13" s="33"/>
      <c r="E13" s="34">
        <v>20</v>
      </c>
      <c r="F13" s="43">
        <v>40</v>
      </c>
      <c r="G13" s="35">
        <v>2</v>
      </c>
      <c r="H13" s="36">
        <f t="shared" si="0"/>
        <v>20</v>
      </c>
      <c r="I13" s="30"/>
      <c r="J13" s="37"/>
      <c r="K13" s="36">
        <f t="shared" si="1"/>
        <v>0</v>
      </c>
      <c r="L13" s="30">
        <f t="shared" si="2"/>
        <v>20</v>
      </c>
      <c r="M13" s="30">
        <f t="shared" si="3"/>
        <v>20</v>
      </c>
      <c r="N13" s="38">
        <f>VLOOKUP(C13,[1]蔬菜!$B:$F,5,0)</f>
        <v>1.76</v>
      </c>
      <c r="O13" s="39">
        <f t="shared" si="5"/>
        <v>1.8526315789473684</v>
      </c>
      <c r="P13" s="39">
        <f t="shared" si="6"/>
        <v>37.05263157894737</v>
      </c>
      <c r="Q13" s="40"/>
      <c r="R13" s="38"/>
      <c r="S13" s="41">
        <f t="shared" si="4"/>
        <v>0</v>
      </c>
      <c r="T13" s="42">
        <v>1</v>
      </c>
    </row>
    <row r="14" spans="1:23" s="3" customFormat="1" ht="15.95" customHeight="1" x14ac:dyDescent="0.15">
      <c r="A14" s="30">
        <v>10</v>
      </c>
      <c r="B14" s="31"/>
      <c r="C14" s="32" t="s">
        <v>38</v>
      </c>
      <c r="D14" s="33"/>
      <c r="E14" s="34">
        <v>10</v>
      </c>
      <c r="F14" s="43">
        <v>45.2</v>
      </c>
      <c r="G14" s="35">
        <v>2</v>
      </c>
      <c r="H14" s="36">
        <f t="shared" si="0"/>
        <v>22.6</v>
      </c>
      <c r="I14" s="30"/>
      <c r="J14" s="37"/>
      <c r="K14" s="36">
        <f t="shared" si="1"/>
        <v>0</v>
      </c>
      <c r="L14" s="30">
        <f t="shared" si="2"/>
        <v>22.6</v>
      </c>
      <c r="M14" s="30">
        <f t="shared" si="3"/>
        <v>22.6</v>
      </c>
      <c r="N14" s="38">
        <f>VLOOKUP(C14,[1]蔬菜!$B:$F,5,0)</f>
        <v>5</v>
      </c>
      <c r="O14" s="39">
        <f t="shared" si="5"/>
        <v>5.2631578947368425</v>
      </c>
      <c r="P14" s="39">
        <f t="shared" si="6"/>
        <v>118.94736842105264</v>
      </c>
      <c r="Q14" s="40"/>
      <c r="R14" s="38"/>
      <c r="S14" s="41">
        <f t="shared" si="4"/>
        <v>0</v>
      </c>
      <c r="T14" s="42"/>
    </row>
    <row r="15" spans="1:23" s="3" customFormat="1" ht="15.95" customHeight="1" x14ac:dyDescent="0.15">
      <c r="A15" s="30">
        <v>11</v>
      </c>
      <c r="B15" s="31"/>
      <c r="C15" s="32" t="s">
        <v>39</v>
      </c>
      <c r="D15" s="33"/>
      <c r="E15" s="34">
        <v>3</v>
      </c>
      <c r="F15" s="43">
        <v>9.4</v>
      </c>
      <c r="G15" s="35">
        <v>2</v>
      </c>
      <c r="H15" s="36">
        <f t="shared" si="0"/>
        <v>4.7</v>
      </c>
      <c r="I15" s="30"/>
      <c r="J15" s="37"/>
      <c r="K15" s="36">
        <f t="shared" si="1"/>
        <v>0</v>
      </c>
      <c r="L15" s="30">
        <f t="shared" si="2"/>
        <v>4.7</v>
      </c>
      <c r="M15" s="30">
        <f t="shared" si="3"/>
        <v>4.7</v>
      </c>
      <c r="N15" s="38">
        <f>VLOOKUP(C15,[1]蔬菜!$B:$F,5,0)</f>
        <v>7.2</v>
      </c>
      <c r="O15" s="39">
        <f t="shared" si="5"/>
        <v>7.5789473684210531</v>
      </c>
      <c r="P15" s="39">
        <f t="shared" si="6"/>
        <v>35.621052631578948</v>
      </c>
      <c r="Q15" s="40"/>
      <c r="R15" s="38"/>
      <c r="S15" s="41">
        <f t="shared" si="4"/>
        <v>0</v>
      </c>
      <c r="T15" s="42"/>
    </row>
    <row r="16" spans="1:23" s="3" customFormat="1" ht="15.95" customHeight="1" x14ac:dyDescent="0.15">
      <c r="A16" s="30">
        <v>12</v>
      </c>
      <c r="B16" s="31"/>
      <c r="C16" s="32" t="s">
        <v>40</v>
      </c>
      <c r="D16" s="33"/>
      <c r="E16" s="34">
        <v>7</v>
      </c>
      <c r="F16" s="43">
        <v>30</v>
      </c>
      <c r="G16" s="35">
        <v>2</v>
      </c>
      <c r="H16" s="36">
        <f t="shared" si="0"/>
        <v>15</v>
      </c>
      <c r="I16" s="30"/>
      <c r="J16" s="37"/>
      <c r="K16" s="36">
        <f t="shared" si="1"/>
        <v>0</v>
      </c>
      <c r="L16" s="30">
        <f t="shared" si="2"/>
        <v>15</v>
      </c>
      <c r="M16" s="30">
        <f t="shared" si="3"/>
        <v>15</v>
      </c>
      <c r="N16" s="38">
        <f>VLOOKUP(C16,[1]蔬菜!$B:$F,5,0)</f>
        <v>1.4</v>
      </c>
      <c r="O16" s="39">
        <f t="shared" si="5"/>
        <v>1.4736842105263157</v>
      </c>
      <c r="P16" s="39">
        <f t="shared" si="6"/>
        <v>22.105263157894736</v>
      </c>
      <c r="Q16" s="40"/>
      <c r="R16" s="38"/>
      <c r="S16" s="41">
        <f t="shared" si="4"/>
        <v>0</v>
      </c>
      <c r="T16" s="42"/>
    </row>
    <row r="17" spans="1:23" s="3" customFormat="1" ht="15.95" customHeight="1" x14ac:dyDescent="0.15">
      <c r="A17" s="30">
        <v>13</v>
      </c>
      <c r="B17" s="31"/>
      <c r="C17" s="32" t="s">
        <v>41</v>
      </c>
      <c r="D17" s="33"/>
      <c r="E17" s="34">
        <v>2</v>
      </c>
      <c r="F17" s="43">
        <v>5.5</v>
      </c>
      <c r="G17" s="35">
        <v>2</v>
      </c>
      <c r="H17" s="36">
        <f t="shared" si="0"/>
        <v>2.75</v>
      </c>
      <c r="I17" s="30"/>
      <c r="J17" s="37"/>
      <c r="K17" s="36">
        <f t="shared" si="1"/>
        <v>0</v>
      </c>
      <c r="L17" s="30">
        <f t="shared" si="2"/>
        <v>2.75</v>
      </c>
      <c r="M17" s="30">
        <f t="shared" si="3"/>
        <v>2.75</v>
      </c>
      <c r="N17" s="38">
        <f>VLOOKUP(C17,[1]蔬菜!$B:$F,5,0)</f>
        <v>2.2000000000000002</v>
      </c>
      <c r="O17" s="39">
        <f t="shared" si="5"/>
        <v>2.3157894736842106</v>
      </c>
      <c r="P17" s="39">
        <f t="shared" si="6"/>
        <v>6.3684210526315788</v>
      </c>
      <c r="Q17" s="40"/>
      <c r="R17" s="38"/>
      <c r="S17" s="41">
        <f t="shared" si="4"/>
        <v>0</v>
      </c>
      <c r="T17" s="42"/>
    </row>
    <row r="18" spans="1:23" s="3" customFormat="1" ht="15.95" customHeight="1" x14ac:dyDescent="0.15">
      <c r="A18" s="30">
        <v>14</v>
      </c>
      <c r="B18" s="31"/>
      <c r="C18" s="44" t="s">
        <v>42</v>
      </c>
      <c r="D18" s="33"/>
      <c r="E18" s="34">
        <v>2</v>
      </c>
      <c r="F18" s="43">
        <v>5.0999999999999996</v>
      </c>
      <c r="G18" s="35">
        <v>2</v>
      </c>
      <c r="H18" s="36">
        <f t="shared" si="0"/>
        <v>2.5499999999999998</v>
      </c>
      <c r="I18" s="30"/>
      <c r="J18" s="37"/>
      <c r="K18" s="36">
        <f t="shared" si="1"/>
        <v>0</v>
      </c>
      <c r="L18" s="30">
        <f t="shared" si="2"/>
        <v>2.5499999999999998</v>
      </c>
      <c r="M18" s="30">
        <f t="shared" si="3"/>
        <v>2.5499999999999998</v>
      </c>
      <c r="N18" s="38">
        <f>VLOOKUP(C18,[1]蔬菜!$B:$F,5,0)</f>
        <v>9.4</v>
      </c>
      <c r="O18" s="39">
        <f t="shared" si="5"/>
        <v>9.8947368421052637</v>
      </c>
      <c r="P18" s="39">
        <f t="shared" si="6"/>
        <v>25.231578947368419</v>
      </c>
      <c r="Q18" s="40"/>
      <c r="R18" s="38"/>
      <c r="S18" s="41">
        <f t="shared" si="4"/>
        <v>0</v>
      </c>
      <c r="T18" s="42"/>
    </row>
    <row r="19" spans="1:23" s="3" customFormat="1" ht="15.95" customHeight="1" x14ac:dyDescent="0.15">
      <c r="A19" s="30">
        <v>15</v>
      </c>
      <c r="B19" s="31"/>
      <c r="C19" s="32" t="s">
        <v>43</v>
      </c>
      <c r="D19" s="33"/>
      <c r="E19" s="34">
        <v>10</v>
      </c>
      <c r="F19" s="43">
        <v>19.399999999999999</v>
      </c>
      <c r="G19" s="35">
        <v>2</v>
      </c>
      <c r="H19" s="36">
        <f t="shared" si="0"/>
        <v>9.6999999999999993</v>
      </c>
      <c r="I19" s="30"/>
      <c r="J19" s="37"/>
      <c r="K19" s="36">
        <f t="shared" si="1"/>
        <v>0</v>
      </c>
      <c r="L19" s="30">
        <f t="shared" si="2"/>
        <v>9.6999999999999993</v>
      </c>
      <c r="M19" s="30">
        <f t="shared" si="3"/>
        <v>9.6999999999999993</v>
      </c>
      <c r="N19" s="38">
        <f>VLOOKUP(C19,[1]蔬菜!$B:$F,5,0)</f>
        <v>1.74</v>
      </c>
      <c r="O19" s="39">
        <f t="shared" si="5"/>
        <v>1.8315789473684212</v>
      </c>
      <c r="P19" s="39">
        <f t="shared" si="6"/>
        <v>17.766315789473683</v>
      </c>
      <c r="Q19" s="40"/>
      <c r="R19" s="38"/>
      <c r="S19" s="41">
        <f t="shared" si="4"/>
        <v>0</v>
      </c>
      <c r="T19" s="42"/>
    </row>
    <row r="20" spans="1:23" s="3" customFormat="1" ht="15.95" customHeight="1" x14ac:dyDescent="0.15">
      <c r="A20" s="30">
        <v>16</v>
      </c>
      <c r="B20" s="31"/>
      <c r="C20" s="32" t="s">
        <v>44</v>
      </c>
      <c r="D20" s="33"/>
      <c r="E20" s="34">
        <v>10</v>
      </c>
      <c r="F20" s="43">
        <v>20</v>
      </c>
      <c r="G20" s="35">
        <v>2</v>
      </c>
      <c r="H20" s="36">
        <f t="shared" si="0"/>
        <v>10</v>
      </c>
      <c r="I20" s="30"/>
      <c r="J20" s="37"/>
      <c r="K20" s="36">
        <f t="shared" si="1"/>
        <v>0</v>
      </c>
      <c r="L20" s="30">
        <f t="shared" si="2"/>
        <v>10</v>
      </c>
      <c r="M20" s="30">
        <f t="shared" si="3"/>
        <v>10</v>
      </c>
      <c r="N20" s="38">
        <f>VLOOKUP(C20,[1]蔬菜!$B:$F,5,0)</f>
        <v>5.44</v>
      </c>
      <c r="O20" s="39">
        <f t="shared" si="5"/>
        <v>5.7263157894736851</v>
      </c>
      <c r="P20" s="39">
        <f t="shared" si="6"/>
        <v>57.26315789473685</v>
      </c>
      <c r="Q20" s="40"/>
      <c r="R20" s="38"/>
      <c r="S20" s="41">
        <f t="shared" si="4"/>
        <v>0</v>
      </c>
      <c r="T20" s="42"/>
    </row>
    <row r="21" spans="1:23" s="3" customFormat="1" ht="15.95" customHeight="1" x14ac:dyDescent="0.15">
      <c r="A21" s="30">
        <v>17</v>
      </c>
      <c r="B21" s="31"/>
      <c r="C21" s="32" t="s">
        <v>45</v>
      </c>
      <c r="D21" s="33"/>
      <c r="E21" s="34">
        <v>5</v>
      </c>
      <c r="F21" s="43">
        <v>11.1</v>
      </c>
      <c r="G21" s="35">
        <v>2</v>
      </c>
      <c r="H21" s="36">
        <f t="shared" si="0"/>
        <v>5.55</v>
      </c>
      <c r="I21" s="30"/>
      <c r="J21" s="37"/>
      <c r="K21" s="36">
        <f t="shared" si="1"/>
        <v>0</v>
      </c>
      <c r="L21" s="30">
        <f t="shared" si="2"/>
        <v>5.55</v>
      </c>
      <c r="M21" s="30">
        <f t="shared" si="3"/>
        <v>5.55</v>
      </c>
      <c r="N21" s="38">
        <f>VLOOKUP(C21,[1]蔬菜!$B:$F,5,0)</f>
        <v>1.66</v>
      </c>
      <c r="O21" s="39">
        <f t="shared" si="5"/>
        <v>1.7473684210526317</v>
      </c>
      <c r="P21" s="39">
        <f t="shared" si="6"/>
        <v>9.6978947368421053</v>
      </c>
      <c r="Q21" s="40"/>
      <c r="R21" s="38"/>
      <c r="S21" s="41">
        <f t="shared" si="4"/>
        <v>0</v>
      </c>
      <c r="T21" s="42"/>
    </row>
    <row r="22" spans="1:23" s="3" customFormat="1" ht="15.95" customHeight="1" x14ac:dyDescent="0.15">
      <c r="A22" s="30">
        <v>18</v>
      </c>
      <c r="B22" s="31"/>
      <c r="C22" s="32" t="s">
        <v>46</v>
      </c>
      <c r="D22" s="33"/>
      <c r="E22" s="34">
        <v>3</v>
      </c>
      <c r="F22" s="43">
        <v>12</v>
      </c>
      <c r="G22" s="35">
        <v>2</v>
      </c>
      <c r="H22" s="36">
        <f t="shared" si="0"/>
        <v>6</v>
      </c>
      <c r="I22" s="30"/>
      <c r="J22" s="37"/>
      <c r="K22" s="36">
        <f t="shared" si="1"/>
        <v>0</v>
      </c>
      <c r="L22" s="30">
        <f t="shared" si="2"/>
        <v>6</v>
      </c>
      <c r="M22" s="30">
        <f t="shared" si="3"/>
        <v>6</v>
      </c>
      <c r="N22" s="38">
        <f>VLOOKUP(C22,[1]蔬菜!$B:$F,5,0)</f>
        <v>5.4</v>
      </c>
      <c r="O22" s="39">
        <f t="shared" si="5"/>
        <v>5.6842105263157903</v>
      </c>
      <c r="P22" s="39">
        <f t="shared" si="6"/>
        <v>34.10526315789474</v>
      </c>
      <c r="Q22" s="40"/>
      <c r="R22" s="38"/>
      <c r="S22" s="41">
        <f t="shared" si="4"/>
        <v>0</v>
      </c>
      <c r="T22" s="42"/>
    </row>
    <row r="23" spans="1:23" s="3" customFormat="1" ht="15.95" customHeight="1" x14ac:dyDescent="0.15">
      <c r="A23" s="30">
        <v>19</v>
      </c>
      <c r="B23" s="31"/>
      <c r="C23" s="44" t="s">
        <v>47</v>
      </c>
      <c r="D23" s="33"/>
      <c r="E23" s="34">
        <v>4</v>
      </c>
      <c r="F23" s="43">
        <v>4</v>
      </c>
      <c r="G23" s="35">
        <v>1</v>
      </c>
      <c r="H23" s="36">
        <f t="shared" si="0"/>
        <v>4</v>
      </c>
      <c r="I23" s="30"/>
      <c r="J23" s="37"/>
      <c r="K23" s="36">
        <f t="shared" si="1"/>
        <v>0</v>
      </c>
      <c r="L23" s="30">
        <f t="shared" si="2"/>
        <v>4</v>
      </c>
      <c r="M23" s="30">
        <f t="shared" si="3"/>
        <v>4</v>
      </c>
      <c r="N23" s="38">
        <v>4.5</v>
      </c>
      <c r="O23" s="39">
        <f t="shared" si="5"/>
        <v>4.7368421052631584</v>
      </c>
      <c r="P23" s="39">
        <f t="shared" si="6"/>
        <v>18.947368421052634</v>
      </c>
      <c r="Q23" s="40"/>
      <c r="R23" s="38"/>
      <c r="S23" s="41">
        <f t="shared" si="4"/>
        <v>0</v>
      </c>
      <c r="T23" s="42"/>
    </row>
    <row r="24" spans="1:23" s="3" customFormat="1" ht="15.95" customHeight="1" x14ac:dyDescent="0.15">
      <c r="A24" s="30">
        <v>20</v>
      </c>
      <c r="B24" s="31"/>
      <c r="C24" s="44" t="s">
        <v>48</v>
      </c>
      <c r="D24" s="33"/>
      <c r="E24" s="34">
        <v>1</v>
      </c>
      <c r="F24" s="43">
        <v>2.4</v>
      </c>
      <c r="G24" s="35">
        <v>2</v>
      </c>
      <c r="H24" s="36">
        <f t="shared" si="0"/>
        <v>1.2</v>
      </c>
      <c r="I24" s="30"/>
      <c r="J24" s="37"/>
      <c r="K24" s="36">
        <f t="shared" si="1"/>
        <v>0</v>
      </c>
      <c r="L24" s="30">
        <f t="shared" si="2"/>
        <v>1.2</v>
      </c>
      <c r="M24" s="30">
        <f t="shared" si="3"/>
        <v>1.2</v>
      </c>
      <c r="N24" s="38">
        <v>13</v>
      </c>
      <c r="O24" s="39">
        <f t="shared" si="5"/>
        <v>13.684210526315789</v>
      </c>
      <c r="P24" s="39">
        <f t="shared" si="6"/>
        <v>16.421052631578945</v>
      </c>
      <c r="Q24" s="40"/>
      <c r="R24" s="38"/>
      <c r="S24" s="41">
        <f t="shared" si="4"/>
        <v>0</v>
      </c>
      <c r="T24" s="42"/>
    </row>
    <row r="25" spans="1:23" s="3" customFormat="1" ht="15.95" customHeight="1" x14ac:dyDescent="0.15">
      <c r="A25" s="30">
        <v>21</v>
      </c>
      <c r="B25" s="31"/>
      <c r="C25" s="44" t="s">
        <v>49</v>
      </c>
      <c r="D25" s="33"/>
      <c r="E25" s="34">
        <v>1</v>
      </c>
      <c r="F25" s="43">
        <v>12</v>
      </c>
      <c r="G25" s="35">
        <v>2</v>
      </c>
      <c r="H25" s="36">
        <f t="shared" si="0"/>
        <v>6</v>
      </c>
      <c r="I25" s="30"/>
      <c r="J25" s="37"/>
      <c r="K25" s="36">
        <f t="shared" si="1"/>
        <v>0</v>
      </c>
      <c r="L25" s="30">
        <f t="shared" si="2"/>
        <v>6</v>
      </c>
      <c r="M25" s="30">
        <f t="shared" si="3"/>
        <v>6</v>
      </c>
      <c r="N25" s="38">
        <v>13.2</v>
      </c>
      <c r="O25" s="39">
        <f t="shared" si="5"/>
        <v>13.894736842105264</v>
      </c>
      <c r="P25" s="39">
        <f t="shared" si="6"/>
        <v>83.368421052631589</v>
      </c>
      <c r="Q25" s="40"/>
      <c r="R25" s="38"/>
      <c r="S25" s="41">
        <f t="shared" si="4"/>
        <v>0</v>
      </c>
      <c r="T25" s="42"/>
    </row>
    <row r="26" spans="1:23" s="3" customFormat="1" ht="15.95" customHeight="1" x14ac:dyDescent="0.15">
      <c r="A26" s="74" t="s">
        <v>50</v>
      </c>
      <c r="B26" s="75"/>
      <c r="C26" s="75"/>
      <c r="D26" s="45"/>
      <c r="E26" s="45"/>
      <c r="F26" s="46"/>
      <c r="G26" s="35"/>
      <c r="H26" s="36"/>
      <c r="I26" s="45"/>
      <c r="J26" s="46"/>
      <c r="K26" s="36"/>
      <c r="L26" s="30"/>
      <c r="M26" s="76" t="s">
        <v>51</v>
      </c>
      <c r="N26" s="77"/>
      <c r="O26" s="78"/>
      <c r="P26" s="39">
        <f>SUM(P5:P25)</f>
        <v>690.01684210526309</v>
      </c>
      <c r="Q26" s="47"/>
      <c r="R26" s="48"/>
      <c r="S26" s="41">
        <f>SUM(S5:S24)</f>
        <v>0</v>
      </c>
      <c r="T26" s="49"/>
    </row>
    <row r="27" spans="1:23" s="3" customFormat="1" ht="15.95" customHeight="1" x14ac:dyDescent="0.15">
      <c r="A27" s="30">
        <v>1</v>
      </c>
      <c r="B27" s="50"/>
      <c r="C27" s="51" t="s">
        <v>52</v>
      </c>
      <c r="D27" s="52"/>
      <c r="E27" s="53"/>
      <c r="F27" s="54"/>
      <c r="G27" s="35"/>
      <c r="H27" s="36"/>
      <c r="I27" s="30"/>
      <c r="J27" s="37"/>
      <c r="K27" s="36"/>
      <c r="L27" s="30"/>
      <c r="M27" s="30"/>
      <c r="N27" s="38"/>
      <c r="O27" s="39"/>
      <c r="P27" s="39"/>
      <c r="Q27" s="40"/>
      <c r="R27" s="38"/>
      <c r="S27" s="41"/>
      <c r="T27" s="55"/>
    </row>
    <row r="28" spans="1:23" s="3" customFormat="1" ht="15.95" customHeight="1" x14ac:dyDescent="0.15">
      <c r="A28" s="30">
        <v>2</v>
      </c>
      <c r="B28" s="56"/>
      <c r="C28" s="56" t="s">
        <v>53</v>
      </c>
      <c r="D28" s="56"/>
      <c r="E28" s="53"/>
      <c r="F28" s="54"/>
      <c r="G28" s="35"/>
      <c r="H28" s="36"/>
      <c r="I28" s="30"/>
      <c r="J28" s="37"/>
      <c r="K28" s="36"/>
      <c r="L28" s="30"/>
      <c r="M28" s="30"/>
      <c r="N28" s="38"/>
      <c r="O28" s="39"/>
      <c r="P28" s="39"/>
      <c r="Q28" s="40"/>
      <c r="R28" s="38"/>
      <c r="S28" s="41"/>
      <c r="T28" s="55"/>
    </row>
    <row r="29" spans="1:23" s="3" customFormat="1" ht="15.95" customHeight="1" x14ac:dyDescent="0.15">
      <c r="A29" s="30">
        <v>3</v>
      </c>
      <c r="B29" s="57"/>
      <c r="C29" s="51" t="s">
        <v>54</v>
      </c>
      <c r="D29" s="56"/>
      <c r="E29" s="36">
        <v>1</v>
      </c>
      <c r="F29" s="35"/>
      <c r="G29" s="35"/>
      <c r="H29" s="36"/>
      <c r="I29" s="30"/>
      <c r="J29" s="37"/>
      <c r="K29" s="36"/>
      <c r="L29" s="30"/>
      <c r="M29" s="30"/>
      <c r="N29" s="38"/>
      <c r="O29" s="39"/>
      <c r="P29" s="39"/>
      <c r="Q29" s="58"/>
      <c r="R29" s="59"/>
      <c r="S29" s="60"/>
      <c r="T29" s="61"/>
    </row>
    <row r="30" spans="1:23" ht="24.95" customHeight="1" x14ac:dyDescent="0.15">
      <c r="L30" s="1"/>
      <c r="M30" s="1"/>
      <c r="U30" s="1"/>
      <c r="V30" s="1"/>
      <c r="W30" s="1"/>
    </row>
    <row r="31" spans="1:23" ht="24.95" customHeight="1" x14ac:dyDescent="0.15">
      <c r="L31" s="1"/>
      <c r="M31" s="1"/>
      <c r="U31" s="1"/>
      <c r="V31" s="1"/>
      <c r="W31" s="1"/>
    </row>
    <row r="32" spans="1:23" ht="24.95" customHeight="1" x14ac:dyDescent="0.15">
      <c r="L32" s="1"/>
      <c r="M32" s="1"/>
      <c r="U32" s="1"/>
      <c r="V32" s="1"/>
      <c r="W32" s="1"/>
    </row>
    <row r="33" spans="12:23" ht="24.95" customHeight="1" x14ac:dyDescent="0.15">
      <c r="L33" s="1"/>
      <c r="M33" s="1"/>
      <c r="U33" s="1"/>
      <c r="V33" s="1"/>
      <c r="W33" s="1"/>
    </row>
    <row r="34" spans="12:23" ht="24.95" customHeight="1" x14ac:dyDescent="0.15">
      <c r="L34" s="1"/>
      <c r="M34" s="1"/>
      <c r="U34" s="1"/>
      <c r="V34" s="1"/>
      <c r="W34" s="1"/>
    </row>
  </sheetData>
  <mergeCells count="6">
    <mergeCell ref="A1:T1"/>
    <mergeCell ref="A2:P2"/>
    <mergeCell ref="Q2:T2"/>
    <mergeCell ref="B3:E3"/>
    <mergeCell ref="A26:C26"/>
    <mergeCell ref="M26:N26"/>
  </mergeCells>
  <phoneticPr fontId="15" type="noConversion"/>
  <conditionalFormatting sqref="C5:C24 C27:C28">
    <cfRule type="duplicateValues" dxfId="4" priority="5"/>
  </conditionalFormatting>
  <conditionalFormatting sqref="C25">
    <cfRule type="duplicateValues" dxfId="3" priority="1"/>
  </conditionalFormatting>
  <conditionalFormatting sqref="C29">
    <cfRule type="duplicateValues" dxfId="2" priority="4"/>
  </conditionalFormatting>
  <conditionalFormatting sqref="C35:C1048576">
    <cfRule type="duplicateValues" dxfId="1" priority="7"/>
  </conditionalFormatting>
  <conditionalFormatting sqref="U35:U1048576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宝信润山店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熙桐 张</cp:lastModifiedBy>
  <dcterms:created xsi:type="dcterms:W3CDTF">2026-05-24T08:49:00Z</dcterms:created>
  <dcterms:modified xsi:type="dcterms:W3CDTF">2026-05-24T22:50:48Z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FD44846DDF4042748154F0DA81CA855C_11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